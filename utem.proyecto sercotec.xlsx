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<sst xmlns="http://schemas.openxmlformats.org/spreadsheetml/2006/main" count="141" uniqueCount="87">
  <si>
    <t>AGOSTO</t>
  </si>
  <si>
    <t>FECHA</t>
  </si>
  <si>
    <t>CANAL DE VENTA</t>
  </si>
  <si>
    <t>PEDIDO</t>
  </si>
  <si>
    <t>CLIENTE</t>
  </si>
  <si>
    <t>TELÉFONO</t>
  </si>
  <si>
    <t>DIRECCIÓN</t>
  </si>
  <si>
    <t>COMUNA</t>
  </si>
  <si>
    <t>PRODUCTOS</t>
  </si>
  <si>
    <t>UNID</t>
  </si>
  <si>
    <t>FORMA DE PAGO</t>
  </si>
  <si>
    <t>BOLETA</t>
  </si>
  <si>
    <t>PAGO</t>
  </si>
  <si>
    <t>SALDO</t>
  </si>
  <si>
    <t>DESPACHO</t>
  </si>
  <si>
    <t>CORREO</t>
  </si>
  <si>
    <t>ESTADO</t>
  </si>
  <si>
    <t>TELEFONO</t>
  </si>
  <si>
    <t>MI PICOTEO</t>
  </si>
  <si>
    <t>RETIRAN</t>
  </si>
  <si>
    <t>TABLAS PINO  23X70</t>
  </si>
  <si>
    <t>TRANSFERENCIA</t>
  </si>
  <si>
    <t>FACTURA</t>
  </si>
  <si>
    <t>WHATAPPS</t>
  </si>
  <si>
    <t>AGENCIA CLAPS</t>
  </si>
  <si>
    <t>ROSARIO NORTE</t>
  </si>
  <si>
    <t>LAS CONDES</t>
  </si>
  <si>
    <t>TABLAS PINO CON LOGO Y CANAL DE JUGO</t>
  </si>
  <si>
    <t>NICOLAS FRENKIEL</t>
  </si>
  <si>
    <t>PANELES</t>
  </si>
  <si>
    <t xml:space="preserve">ALZADORES </t>
  </si>
  <si>
    <t>MADEMETAL</t>
  </si>
  <si>
    <t>WEB</t>
  </si>
  <si>
    <t>CLAUDIA FLORES</t>
  </si>
  <si>
    <t>CONDEL 41 LOCAL  BODEGA  CONDELL MASCOTAS ALIMENTO</t>
  </si>
  <si>
    <t>QUILLOTA</t>
  </si>
  <si>
    <t>PIZZA 45, TORTERO 30, SET CIRCULARES BANDEJA SUSHI</t>
  </si>
  <si>
    <t>PAGO WEB</t>
  </si>
  <si>
    <t>AMANDA DESPESSALLES</t>
  </si>
  <si>
    <t>EXEQUIEL FERNANDEZ 881</t>
  </si>
  <si>
    <t>ÑUÑOA</t>
  </si>
  <si>
    <t>ÑOQUIS BASE COCINA GRANDE</t>
  </si>
  <si>
    <t>JPORGE QUINLAN</t>
  </si>
  <si>
    <t>PASEO BULNEAA 209 OFICNA 82</t>
  </si>
  <si>
    <t>SANTIAGO CENTRO</t>
  </si>
  <si>
    <t>TABLA AMASAR -KIT PASTAS 0</t>
  </si>
  <si>
    <t>AUGUSTO BERMUDEZ</t>
  </si>
  <si>
    <t>PRNCIPE DE GALES 8850 CASA C</t>
  </si>
  <si>
    <t>LA REINA</t>
  </si>
  <si>
    <t>BASE COCINA</t>
  </si>
  <si>
    <t>MILITZA VUKOVIC</t>
  </si>
  <si>
    <t>LIQUIDAMBAR 757 DPTO. 1801</t>
  </si>
  <si>
    <t>CON CON -VALPARAISO</t>
  </si>
  <si>
    <t>SET ALZADOR</t>
  </si>
  <si>
    <t xml:space="preserve">XIMENA NAVARRETE </t>
  </si>
  <si>
    <t xml:space="preserve">MULCHEN </t>
  </si>
  <si>
    <t>TABLA AMASAR</t>
  </si>
  <si>
    <t>FERNANDA CARVIELLIER</t>
  </si>
  <si>
    <t>QUIRIHUE</t>
  </si>
  <si>
    <t>3 SET ALZADORES</t>
  </si>
  <si>
    <t>PABLO OTELO</t>
  </si>
  <si>
    <t>SANTA ZITA 9260</t>
  </si>
  <si>
    <t>GEORGINA GODOY CHOCOLATES PIRQUE</t>
  </si>
  <si>
    <t>PIRQUE</t>
  </si>
  <si>
    <t>2 SET ALZADORES 3 CUBOS</t>
  </si>
  <si>
    <t xml:space="preserve">TRANSFERENCIA </t>
  </si>
  <si>
    <t xml:space="preserve">JESSICA REYES </t>
  </si>
  <si>
    <t xml:space="preserve">LOS CORRALEROS 3020 CASA 39 CONDOMINIO ALTO ARRAYAN </t>
  </si>
  <si>
    <t>PUENTE ALTO</t>
  </si>
  <si>
    <t>ENCIMERA -OVAL -USLERO</t>
  </si>
  <si>
    <t>TRANFERENCIA</t>
  </si>
  <si>
    <t>@</t>
  </si>
  <si>
    <t xml:space="preserve">JOHANNA BALLARINI </t>
  </si>
  <si>
    <t>MARIA ALEGRIA 74 CONDOMINIO SANTA ANITA</t>
  </si>
  <si>
    <t>QUINTERO</t>
  </si>
  <si>
    <t>PANEL</t>
  </si>
  <si>
    <t>WHASSAP</t>
  </si>
  <si>
    <t>JORGE POBLETE</t>
  </si>
  <si>
    <t>TRASNFERENCIA</t>
  </si>
  <si>
    <t>JARDIN DE HEDRAS</t>
  </si>
  <si>
    <t>RETIRA</t>
  </si>
  <si>
    <t>BATEAS</t>
  </si>
  <si>
    <t>LA CABRERA</t>
  </si>
  <si>
    <t>ALONSO DE CORDOVA</t>
  </si>
  <si>
    <t>VITACURA</t>
  </si>
  <si>
    <t>72 MANTENCIONES * 30 OVALES</t>
  </si>
  <si>
    <t>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</si>
</sst>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24.0"/>
      <color rgb="FF1F4E78"/>
      <name val="Calibri"/>
    </font>
    <font/>
    <font>
      <b/>
      <sz val="11.0"/>
      <color rgb="FF1F4E78"/>
      <name val="Calibri"/>
    </font>
    <font>
      <sz val="11.0"/>
      <color/>
      <name val="Calibri"/>
    </font>
    <font>
      <b/>
      <sz val="11.0"/>
      <color/>
      <name val="Calibri"/>
    </font>
    <font>
      <b/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right" vertical="center"/>
    </xf>
    <xf borderId="3" fillId="2" fontId="3" numFmtId="0" xfId="0" applyAlignment="1" applyBorder="1" applyFont="1">
      <alignment horizontal="center" vertical="center"/>
    </xf>
    <xf borderId="2" fillId="3" fontId="4" numFmtId="14" xfId="0" applyBorder="1" applyFill="1" applyFont="1" applyNumberFormat="1"/>
    <xf borderId="2" fillId="3" fontId="4" numFmtId="0" xfId="0" applyAlignment="1" applyBorder="1" applyFont="1">
      <alignment horizontal="center"/>
    </xf>
    <xf borderId="2" fillId="3" fontId="4" numFmtId="0" xfId="0" applyBorder="1" applyFont="1"/>
    <xf borderId="2" fillId="3" fontId="4" numFmtId="0" xfId="0" applyAlignment="1" applyBorder="1" applyFont="1">
      <alignment horizontal="right"/>
    </xf>
    <xf borderId="3" fillId="3" fontId="4" numFmtId="0" xfId="0" applyBorder="1" applyFont="1"/>
    <xf borderId="3" fillId="4" fontId="4" numFmtId="0" xfId="0" applyAlignment="1" applyBorder="1" applyFill="1" applyFont="1">
      <alignment horizontal="right"/>
    </xf>
    <xf borderId="2" fillId="3" fontId="5" numFmtId="0" xfId="0" applyAlignment="1" applyBorder="1" applyFont="1">
      <alignment horizontal="center"/>
    </xf>
    <xf borderId="4" fillId="3" fontId="4" numFmtId="0" xfId="0" applyBorder="1" applyFont="1"/>
    <xf borderId="5" fillId="3" fontId="4" numFmtId="0" xfId="0" applyBorder="1" applyFont="1"/>
    <xf borderId="2" fillId="3" fontId="4" numFmtId="14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right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right" vertical="center"/>
    </xf>
    <xf borderId="2" fillId="0" fontId="4" numFmtId="14" xfId="0" applyAlignment="1" applyBorder="1" applyFont="1" applyNumberFormat="1">
      <alignment horizontal="center" vertical="center"/>
    </xf>
    <xf borderId="2" fillId="5" fontId="6" numFmtId="0" xfId="0" applyAlignment="1" applyBorder="1" applyFill="1" applyFont="1">
      <alignment horizontal="right" vertical="center"/>
    </xf>
    <xf borderId="2" fillId="6" fontId="6" numFmtId="0" xfId="0" applyAlignment="1" applyBorder="1" applyFill="1" applyFont="1">
      <alignment horizontal="right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1.43"/>
    <col customWidth="1" min="3" max="3" width="9.0"/>
    <col customWidth="1" min="4" max="4" width="20.0"/>
    <col customWidth="1" min="5" max="5" width="10.29"/>
    <col customWidth="1" min="6" max="6" width="27.43"/>
    <col customWidth="1" min="7" max="8" width="20.0"/>
    <col customWidth="1" min="9" max="9" width="8.86"/>
    <col customWidth="1" min="10" max="10" width="20.0"/>
    <col customWidth="1" min="11" max="11" width="11.71"/>
    <col customWidth="1" min="12" max="12" width="10.57"/>
    <col customWidth="1" min="13" max="13" width="14.29"/>
    <col customWidth="1" min="14" max="16" width="20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3"/>
      <c r="O3" s="3"/>
      <c r="P3" s="5"/>
    </row>
    <row r="4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3"/>
      <c r="O4" s="3"/>
      <c r="P4" s="5"/>
    </row>
    <row r="5" ht="14.25" customHeight="1">
      <c r="A5" s="6">
        <v>45863.0</v>
      </c>
      <c r="B5" s="7" t="s">
        <v>17</v>
      </c>
      <c r="C5" s="7"/>
      <c r="D5" s="8" t="s">
        <v>18</v>
      </c>
      <c r="E5" s="8"/>
      <c r="F5" s="8" t="s">
        <v>19</v>
      </c>
      <c r="G5" s="8"/>
      <c r="H5" s="8" t="s">
        <v>20</v>
      </c>
      <c r="I5" s="8">
        <v>30.0</v>
      </c>
      <c r="J5" s="8" t="s">
        <v>21</v>
      </c>
      <c r="K5" s="7" t="s">
        <v>22</v>
      </c>
      <c r="L5" s="9">
        <v>127330.0</v>
      </c>
      <c r="M5" s="9"/>
      <c r="N5" s="8"/>
      <c r="O5" s="8"/>
      <c r="P5" s="10"/>
    </row>
    <row r="6" ht="14.25" customHeight="1">
      <c r="A6" s="6">
        <v>45130.0</v>
      </c>
      <c r="B6" s="7" t="s">
        <v>23</v>
      </c>
      <c r="C6" s="7"/>
      <c r="D6" s="8" t="s">
        <v>24</v>
      </c>
      <c r="E6" s="8"/>
      <c r="F6" s="8" t="s">
        <v>25</v>
      </c>
      <c r="G6" s="8" t="s">
        <v>26</v>
      </c>
      <c r="H6" s="8" t="s">
        <v>27</v>
      </c>
      <c r="I6" s="8">
        <v>1510.0</v>
      </c>
      <c r="J6" s="8" t="s">
        <v>21</v>
      </c>
      <c r="K6" s="7" t="s">
        <v>22</v>
      </c>
      <c r="L6" s="9">
        <v>5300855.0</v>
      </c>
      <c r="M6" s="9"/>
      <c r="N6" s="8"/>
      <c r="O6" s="8"/>
      <c r="P6" s="10"/>
    </row>
    <row r="7" ht="14.25" customHeight="1">
      <c r="A7" s="6">
        <v>45861.0</v>
      </c>
      <c r="B7" s="7" t="s">
        <v>17</v>
      </c>
      <c r="C7" s="7"/>
      <c r="D7" s="8" t="s">
        <v>28</v>
      </c>
      <c r="E7" s="8"/>
      <c r="F7" s="8" t="s">
        <v>19</v>
      </c>
      <c r="G7" s="8" t="s">
        <v>19</v>
      </c>
      <c r="H7" s="8" t="s">
        <v>29</v>
      </c>
      <c r="I7" s="8">
        <v>6.0</v>
      </c>
      <c r="J7" s="8" t="s">
        <v>21</v>
      </c>
      <c r="K7" s="7" t="s">
        <v>11</v>
      </c>
      <c r="L7" s="9">
        <v>300000.0</v>
      </c>
      <c r="M7" s="9"/>
      <c r="N7" s="8"/>
      <c r="O7" s="8"/>
      <c r="P7" s="10"/>
    </row>
    <row r="8" ht="14.25" customHeight="1">
      <c r="A8" s="6">
        <v>45868.0</v>
      </c>
      <c r="B8" s="7" t="s">
        <v>23</v>
      </c>
      <c r="C8" s="7"/>
      <c r="D8" s="8" t="s">
        <v>24</v>
      </c>
      <c r="E8" s="8"/>
      <c r="F8" s="8" t="s">
        <v>25</v>
      </c>
      <c r="G8" s="8" t="s">
        <v>26</v>
      </c>
      <c r="H8" s="8" t="s">
        <v>30</v>
      </c>
      <c r="I8" s="8">
        <v>2.0</v>
      </c>
      <c r="J8" s="8" t="s">
        <v>21</v>
      </c>
      <c r="K8" s="7" t="s">
        <v>22</v>
      </c>
      <c r="L8" s="9">
        <v>62000.0</v>
      </c>
      <c r="M8" s="11"/>
      <c r="N8" s="8"/>
      <c r="O8" s="8"/>
      <c r="P8" s="10"/>
    </row>
    <row r="9" ht="14.25" customHeight="1">
      <c r="A9" s="6">
        <v>45861.0</v>
      </c>
      <c r="B9" s="7" t="s">
        <v>17</v>
      </c>
      <c r="C9" s="12"/>
      <c r="D9" s="13" t="s">
        <v>31</v>
      </c>
      <c r="E9" s="8"/>
      <c r="F9" s="14" t="s">
        <v>19</v>
      </c>
      <c r="G9" s="8" t="s">
        <v>19</v>
      </c>
      <c r="H9" s="8" t="s">
        <v>29</v>
      </c>
      <c r="I9" s="8">
        <v>2.0</v>
      </c>
      <c r="J9" s="8" t="s">
        <v>21</v>
      </c>
      <c r="K9" s="7" t="s">
        <v>11</v>
      </c>
      <c r="L9" s="9">
        <v>70000.0</v>
      </c>
      <c r="M9" s="9"/>
      <c r="N9" s="14"/>
      <c r="O9" s="8"/>
      <c r="P9" s="8"/>
    </row>
    <row r="10" ht="14.25" customHeight="1">
      <c r="A10" s="6">
        <v>45874.0</v>
      </c>
      <c r="B10" s="7" t="s">
        <v>32</v>
      </c>
      <c r="C10" s="7">
        <v>10027.0</v>
      </c>
      <c r="D10" s="8" t="s">
        <v>33</v>
      </c>
      <c r="E10" s="8">
        <v>9.52288367E8</v>
      </c>
      <c r="F10" s="8" t="s">
        <v>34</v>
      </c>
      <c r="G10" s="8" t="s">
        <v>35</v>
      </c>
      <c r="H10" s="8" t="s">
        <v>36</v>
      </c>
      <c r="I10" s="8">
        <v>4.0</v>
      </c>
      <c r="J10" s="8" t="s">
        <v>37</v>
      </c>
      <c r="K10" s="7" t="s">
        <v>11</v>
      </c>
      <c r="L10" s="9">
        <v>101000.0</v>
      </c>
      <c r="M10" s="9"/>
      <c r="N10" s="8"/>
      <c r="O10" s="8"/>
      <c r="P10" s="8"/>
    </row>
    <row r="11" ht="14.25" customHeight="1">
      <c r="A11" s="8"/>
      <c r="B11" s="7" t="s">
        <v>32</v>
      </c>
      <c r="C11" s="7">
        <v>10036.0</v>
      </c>
      <c r="D11" s="8" t="s">
        <v>38</v>
      </c>
      <c r="E11" s="8">
        <v>9.99457165E8</v>
      </c>
      <c r="F11" s="8" t="s">
        <v>39</v>
      </c>
      <c r="G11" s="8" t="s">
        <v>40</v>
      </c>
      <c r="H11" s="8" t="s">
        <v>41</v>
      </c>
      <c r="I11" s="8">
        <v>2.0</v>
      </c>
      <c r="J11" s="8" t="s">
        <v>37</v>
      </c>
      <c r="K11" s="7" t="s">
        <v>11</v>
      </c>
      <c r="L11" s="9">
        <v>72000.0</v>
      </c>
      <c r="M11" s="9"/>
      <c r="N11" s="8"/>
      <c r="O11" s="8"/>
      <c r="P11" s="8"/>
    </row>
    <row r="12" ht="14.25" customHeight="1">
      <c r="A12" s="8"/>
      <c r="B12" s="7" t="s">
        <v>32</v>
      </c>
      <c r="C12" s="7">
        <v>10039.0</v>
      </c>
      <c r="D12" s="8" t="s">
        <v>42</v>
      </c>
      <c r="E12" s="8">
        <v>9.94351069E8</v>
      </c>
      <c r="F12" s="8" t="s">
        <v>43</v>
      </c>
      <c r="G12" s="8" t="s">
        <v>44</v>
      </c>
      <c r="H12" s="8" t="s">
        <v>45</v>
      </c>
      <c r="I12" s="8">
        <v>3.0</v>
      </c>
      <c r="J12" s="8" t="s">
        <v>37</v>
      </c>
      <c r="K12" s="7" t="s">
        <v>11</v>
      </c>
      <c r="L12" s="9">
        <v>71800.0</v>
      </c>
      <c r="M12" s="9"/>
      <c r="N12" s="8"/>
      <c r="O12" s="8"/>
      <c r="P12" s="8"/>
    </row>
    <row r="13" ht="14.25" customHeight="1">
      <c r="A13" s="8"/>
      <c r="B13" s="7"/>
      <c r="C13" s="7"/>
      <c r="D13" s="8" t="s">
        <v>46</v>
      </c>
      <c r="E13" s="8">
        <v>9.82946148E8</v>
      </c>
      <c r="F13" s="8" t="s">
        <v>47</v>
      </c>
      <c r="G13" s="8" t="s">
        <v>48</v>
      </c>
      <c r="H13" s="8" t="s">
        <v>49</v>
      </c>
      <c r="I13" s="8">
        <v>1.0</v>
      </c>
      <c r="J13" s="8" t="str">
        <f>---------K16B</f>
        <v>#NAME?</v>
      </c>
      <c r="K13" s="7" t="s">
        <v>11</v>
      </c>
      <c r="L13" s="9">
        <v>73000.0</v>
      </c>
      <c r="M13" s="9"/>
      <c r="N13" s="8"/>
      <c r="O13" s="8"/>
      <c r="P13" s="8"/>
    </row>
    <row r="14" ht="14.25" customHeight="1">
      <c r="A14" s="15">
        <v>45882.0</v>
      </c>
      <c r="B14" s="16" t="s">
        <v>32</v>
      </c>
      <c r="C14" s="16">
        <v>10040.0</v>
      </c>
      <c r="D14" s="16" t="s">
        <v>50</v>
      </c>
      <c r="E14" s="16">
        <v>9.052069E7</v>
      </c>
      <c r="F14" s="16" t="s">
        <v>51</v>
      </c>
      <c r="G14" s="16" t="s">
        <v>52</v>
      </c>
      <c r="H14" s="16" t="s">
        <v>53</v>
      </c>
      <c r="I14" s="16">
        <v>1.0</v>
      </c>
      <c r="J14" s="16" t="s">
        <v>37</v>
      </c>
      <c r="K14" s="16" t="s">
        <v>11</v>
      </c>
      <c r="L14" s="17">
        <v>24000.0</v>
      </c>
      <c r="M14" s="17"/>
      <c r="N14" s="16"/>
      <c r="O14" s="16"/>
      <c r="P14" s="16"/>
    </row>
    <row r="15" ht="14.25" customHeight="1">
      <c r="A15" s="15"/>
      <c r="B15" s="16" t="s">
        <v>32</v>
      </c>
      <c r="C15" s="16">
        <v>10041.0</v>
      </c>
      <c r="D15" s="16" t="s">
        <v>54</v>
      </c>
      <c r="E15" s="16"/>
      <c r="F15" s="16"/>
      <c r="G15" s="16" t="s">
        <v>55</v>
      </c>
      <c r="H15" s="16" t="s">
        <v>56</v>
      </c>
      <c r="I15" s="16">
        <v>1.0</v>
      </c>
      <c r="J15" s="16" t="s">
        <v>37</v>
      </c>
      <c r="K15" s="16" t="s">
        <v>11</v>
      </c>
      <c r="L15" s="17">
        <v>43000.0</v>
      </c>
      <c r="M15" s="17"/>
      <c r="N15" s="16"/>
      <c r="O15" s="16"/>
      <c r="P15" s="16"/>
    </row>
    <row r="16" ht="14.25" customHeight="1">
      <c r="A16" s="15"/>
      <c r="B16" s="16" t="s">
        <v>32</v>
      </c>
      <c r="C16" s="16">
        <v>10044.0</v>
      </c>
      <c r="D16" s="16" t="s">
        <v>57</v>
      </c>
      <c r="E16" s="16"/>
      <c r="F16" s="16"/>
      <c r="G16" s="16" t="s">
        <v>58</v>
      </c>
      <c r="H16" s="16" t="s">
        <v>59</v>
      </c>
      <c r="I16" s="16">
        <v>3.0</v>
      </c>
      <c r="J16" s="16" t="s">
        <v>37</v>
      </c>
      <c r="K16" s="16" t="s">
        <v>11</v>
      </c>
      <c r="L16" s="17">
        <v>75000.0</v>
      </c>
      <c r="M16" s="17"/>
      <c r="N16" s="16"/>
      <c r="O16" s="16"/>
      <c r="P16" s="16"/>
    </row>
    <row r="17" ht="14.25" customHeight="1">
      <c r="A17" s="15"/>
      <c r="B17" s="16" t="s">
        <v>32</v>
      </c>
      <c r="C17" s="16">
        <v>10042.0</v>
      </c>
      <c r="D17" s="16" t="s">
        <v>60</v>
      </c>
      <c r="E17" s="16">
        <v>9.74917839E8</v>
      </c>
      <c r="F17" s="16" t="s">
        <v>61</v>
      </c>
      <c r="G17" s="16" t="s">
        <v>26</v>
      </c>
      <c r="H17" s="16" t="s">
        <v>56</v>
      </c>
      <c r="I17" s="16">
        <v>1.0</v>
      </c>
      <c r="J17" s="16" t="s">
        <v>37</v>
      </c>
      <c r="K17" s="16" t="s">
        <v>11</v>
      </c>
      <c r="L17" s="17">
        <v>43000.0</v>
      </c>
      <c r="M17" s="17"/>
      <c r="N17" s="16"/>
      <c r="O17" s="16"/>
      <c r="P17" s="16"/>
    </row>
    <row r="18" ht="14.25" customHeight="1">
      <c r="A18" s="16"/>
      <c r="B18" s="16" t="s">
        <v>17</v>
      </c>
      <c r="C18" s="16">
        <v>2638.0</v>
      </c>
      <c r="D18" s="16" t="s">
        <v>62</v>
      </c>
      <c r="E18" s="16">
        <v>9.90203275E8</v>
      </c>
      <c r="F18" s="16"/>
      <c r="G18" s="16" t="s">
        <v>63</v>
      </c>
      <c r="H18" s="16" t="s">
        <v>64</v>
      </c>
      <c r="I18" s="16">
        <v>5.0</v>
      </c>
      <c r="J18" s="16" t="s">
        <v>65</v>
      </c>
      <c r="K18" s="16"/>
      <c r="L18" s="17">
        <v>120000.0</v>
      </c>
      <c r="M18" s="17"/>
      <c r="N18" s="16"/>
      <c r="O18" s="16"/>
      <c r="P18" s="16"/>
    </row>
    <row r="19" ht="14.25" customHeight="1">
      <c r="A19" s="15">
        <v>45886.0</v>
      </c>
      <c r="B19" s="16" t="s">
        <v>17</v>
      </c>
      <c r="C19" s="16">
        <v>2639.0</v>
      </c>
      <c r="D19" s="16" t="s">
        <v>66</v>
      </c>
      <c r="E19" s="16"/>
      <c r="F19" s="16" t="s">
        <v>67</v>
      </c>
      <c r="G19" s="16" t="s">
        <v>68</v>
      </c>
      <c r="H19" s="16" t="s">
        <v>69</v>
      </c>
      <c r="I19" s="16">
        <v>3.0</v>
      </c>
      <c r="J19" s="16" t="s">
        <v>70</v>
      </c>
      <c r="K19" s="16" t="s">
        <v>11</v>
      </c>
      <c r="L19" s="17">
        <v>132500.0</v>
      </c>
      <c r="M19" s="17"/>
      <c r="N19" s="16"/>
      <c r="O19" s="16"/>
      <c r="P19" s="16"/>
    </row>
    <row r="20" ht="14.25" customHeight="1">
      <c r="A20" s="18"/>
      <c r="B20" s="18" t="s">
        <v>71</v>
      </c>
      <c r="C20" s="18"/>
      <c r="D20" s="18" t="s">
        <v>72</v>
      </c>
      <c r="E20" s="18">
        <v>9.68545914E8</v>
      </c>
      <c r="F20" s="18" t="s">
        <v>73</v>
      </c>
      <c r="G20" s="18" t="s">
        <v>74</v>
      </c>
      <c r="H20" s="18" t="s">
        <v>75</v>
      </c>
      <c r="I20" s="18">
        <v>1.0</v>
      </c>
      <c r="J20" s="18" t="s">
        <v>65</v>
      </c>
      <c r="K20" s="18" t="s">
        <v>11</v>
      </c>
      <c r="L20" s="19">
        <v>214000.0</v>
      </c>
      <c r="M20" s="19">
        <v>214000.0</v>
      </c>
      <c r="N20" s="18"/>
      <c r="O20" s="18"/>
      <c r="P20" s="18"/>
    </row>
    <row r="21" ht="14.25" customHeight="1">
      <c r="A21" s="15">
        <v>45895.0</v>
      </c>
      <c r="B21" s="16" t="s">
        <v>76</v>
      </c>
      <c r="C21" s="16"/>
      <c r="D21" s="16" t="s">
        <v>77</v>
      </c>
      <c r="E21" s="16"/>
      <c r="F21" s="16" t="s">
        <v>56</v>
      </c>
      <c r="G21" s="16"/>
      <c r="H21" s="16"/>
      <c r="I21" s="16"/>
      <c r="J21" s="16" t="s">
        <v>78</v>
      </c>
      <c r="K21" s="16" t="s">
        <v>11</v>
      </c>
      <c r="L21" s="17">
        <v>43000.0</v>
      </c>
      <c r="M21" s="17"/>
      <c r="N21" s="16"/>
      <c r="O21" s="16"/>
      <c r="P21" s="16"/>
    </row>
    <row r="22" ht="14.25" customHeight="1">
      <c r="A22" s="15">
        <v>45896.0</v>
      </c>
      <c r="B22" s="16" t="s">
        <v>17</v>
      </c>
      <c r="C22" s="16"/>
      <c r="D22" s="16" t="s">
        <v>79</v>
      </c>
      <c r="E22" s="16"/>
      <c r="F22" s="16" t="s">
        <v>19</v>
      </c>
      <c r="G22" s="16" t="s">
        <v>80</v>
      </c>
      <c r="H22" s="16" t="s">
        <v>81</v>
      </c>
      <c r="I22" s="16">
        <v>5.0</v>
      </c>
      <c r="J22" s="16"/>
      <c r="K22" s="16" t="s">
        <v>22</v>
      </c>
      <c r="L22" s="17">
        <v>48500.0</v>
      </c>
      <c r="M22" s="17"/>
      <c r="N22" s="16"/>
      <c r="O22" s="16"/>
      <c r="P22" s="16"/>
    </row>
    <row r="23" ht="14.25" customHeight="1">
      <c r="A23" s="20">
        <v>45896.0</v>
      </c>
      <c r="B23" s="18" t="s">
        <v>17</v>
      </c>
      <c r="C23" s="18"/>
      <c r="D23" s="18" t="s">
        <v>82</v>
      </c>
      <c r="E23" s="18"/>
      <c r="F23" s="18" t="s">
        <v>83</v>
      </c>
      <c r="G23" s="18" t="s">
        <v>84</v>
      </c>
      <c r="H23" s="18" t="s">
        <v>85</v>
      </c>
      <c r="I23" s="18">
        <v>30.0</v>
      </c>
      <c r="J23" s="18" t="s">
        <v>65</v>
      </c>
      <c r="K23" s="18" t="s">
        <v>22</v>
      </c>
      <c r="L23" s="19">
        <v>810000.0</v>
      </c>
      <c r="M23" s="19"/>
      <c r="N23" s="18"/>
      <c r="O23" s="18"/>
      <c r="P23" s="18"/>
    </row>
    <row r="24" ht="14.25" customHeight="1">
      <c r="A24" s="18"/>
      <c r="B24" s="18"/>
      <c r="C24" s="18"/>
      <c r="D24" s="18" t="s">
        <v>86</v>
      </c>
      <c r="E24" s="18"/>
      <c r="F24" s="18"/>
      <c r="G24" s="18"/>
      <c r="H24" s="18"/>
      <c r="I24" s="18"/>
      <c r="J24" s="18"/>
      <c r="K24" s="18"/>
      <c r="L24" s="19"/>
      <c r="M24" s="19"/>
      <c r="N24" s="18"/>
      <c r="O24" s="18"/>
      <c r="P24" s="18"/>
    </row>
    <row r="25" ht="14.2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19"/>
      <c r="N25" s="18"/>
      <c r="O25" s="18"/>
      <c r="P25" s="18"/>
    </row>
    <row r="26" ht="14.2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/>
      <c r="M26" s="19"/>
      <c r="N26" s="18"/>
      <c r="O26" s="18"/>
      <c r="P26" s="18"/>
    </row>
    <row r="27" ht="14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/>
      <c r="M27" s="19"/>
      <c r="N27" s="18"/>
      <c r="O27" s="18"/>
      <c r="P27" s="18"/>
    </row>
    <row r="28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/>
      <c r="M28" s="19"/>
      <c r="N28" s="18"/>
      <c r="O28" s="18"/>
      <c r="P28" s="18"/>
    </row>
    <row r="29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/>
      <c r="M29" s="19"/>
      <c r="N29" s="18"/>
      <c r="O29" s="18"/>
      <c r="P29" s="18"/>
    </row>
    <row r="30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/>
      <c r="M30" s="19"/>
      <c r="N30" s="18"/>
      <c r="O30" s="18"/>
      <c r="P30" s="18"/>
    </row>
    <row r="31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/>
      <c r="M31" s="19"/>
      <c r="N31" s="18"/>
      <c r="O31" s="18"/>
      <c r="P31" s="18"/>
    </row>
    <row r="32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/>
      <c r="M32" s="19"/>
      <c r="N32" s="18"/>
      <c r="O32" s="18"/>
      <c r="P32" s="18"/>
    </row>
    <row r="33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1" t="str">
        <f t="shared" ref="L33:M33" si="1">SUM(L5:L32)</f>
        <v>7730985</v>
      </c>
      <c r="M33" s="22" t="str">
        <f t="shared" si="1"/>
        <v>214000</v>
      </c>
      <c r="N33" s="18" t="str">
        <f>L33+M33</f>
        <v>7944985</v>
      </c>
      <c r="O33" s="18"/>
      <c r="P33" s="18"/>
    </row>
    <row r="34" ht="14.25" customHeight="1">
      <c r="B34" s="23"/>
      <c r="C34" s="23"/>
      <c r="K34" s="23"/>
      <c r="L34" s="24"/>
      <c r="M34" s="24"/>
    </row>
    <row r="35" ht="14.25" customHeight="1">
      <c r="B35" s="23"/>
      <c r="C35" s="23"/>
      <c r="K35" s="23"/>
      <c r="L35" s="24"/>
      <c r="M35" s="24"/>
    </row>
    <row r="36" ht="14.25" customHeight="1">
      <c r="B36" s="23"/>
      <c r="C36" s="23"/>
      <c r="K36" s="23"/>
      <c r="L36" s="24"/>
      <c r="M36" s="24"/>
    </row>
    <row r="37" ht="14.25" customHeight="1">
      <c r="B37" s="23"/>
      <c r="C37" s="23"/>
      <c r="K37" s="23"/>
      <c r="L37" s="24"/>
      <c r="M37" s="24"/>
    </row>
    <row r="38" ht="14.25" customHeight="1">
      <c r="B38" s="23"/>
      <c r="C38" s="23"/>
      <c r="K38" s="23"/>
      <c r="L38" s="24"/>
      <c r="M38" s="24"/>
    </row>
    <row r="39" ht="14.25" customHeight="1">
      <c r="B39" s="23"/>
      <c r="C39" s="23"/>
      <c r="K39" s="23"/>
      <c r="L39" s="24"/>
      <c r="M39" s="24"/>
    </row>
    <row r="40" ht="14.25" customHeight="1">
      <c r="B40" s="23"/>
      <c r="C40" s="23"/>
      <c r="K40" s="23"/>
      <c r="L40" s="24"/>
      <c r="M40" s="24"/>
    </row>
    <row r="41" ht="14.25" customHeight="1">
      <c r="B41" s="23"/>
      <c r="C41" s="23"/>
      <c r="K41" s="23"/>
      <c r="L41" s="24"/>
      <c r="M41" s="24"/>
    </row>
    <row r="42" ht="14.25" customHeight="1">
      <c r="B42" s="23"/>
      <c r="C42" s="23"/>
      <c r="K42" s="23"/>
      <c r="L42" s="24"/>
      <c r="M42" s="24"/>
    </row>
    <row r="43" ht="14.25" customHeight="1">
      <c r="B43" s="23"/>
      <c r="C43" s="23"/>
      <c r="K43" s="23"/>
      <c r="L43" s="24"/>
      <c r="M43" s="24"/>
    </row>
    <row r="44" ht="14.25" customHeight="1">
      <c r="B44" s="23"/>
      <c r="C44" s="23"/>
      <c r="K44" s="23"/>
      <c r="L44" s="24"/>
      <c r="M44" s="24"/>
    </row>
    <row r="45" ht="14.25" customHeight="1">
      <c r="B45" s="23"/>
      <c r="C45" s="23"/>
      <c r="K45" s="23"/>
      <c r="L45" s="24"/>
      <c r="M45" s="24"/>
    </row>
    <row r="46" ht="14.25" customHeight="1">
      <c r="B46" s="23"/>
      <c r="C46" s="23"/>
      <c r="K46" s="23"/>
      <c r="L46" s="24"/>
      <c r="M46" s="24"/>
    </row>
    <row r="47" ht="14.25" customHeight="1">
      <c r="B47" s="23"/>
      <c r="C47" s="23"/>
      <c r="K47" s="23"/>
      <c r="L47" s="24"/>
      <c r="M47" s="24"/>
    </row>
    <row r="48" ht="14.25" customHeight="1">
      <c r="B48" s="23"/>
      <c r="C48" s="23"/>
      <c r="K48" s="23"/>
      <c r="L48" s="24"/>
      <c r="M48" s="24"/>
    </row>
    <row r="49" ht="14.25" customHeight="1">
      <c r="B49" s="23"/>
      <c r="C49" s="23"/>
      <c r="K49" s="23"/>
      <c r="L49" s="24"/>
      <c r="M49" s="24"/>
    </row>
    <row r="50" ht="14.25" customHeight="1">
      <c r="B50" s="23"/>
      <c r="C50" s="23"/>
      <c r="K50" s="23"/>
      <c r="L50" s="24"/>
      <c r="M50" s="24"/>
    </row>
    <row r="51" ht="14.25" customHeight="1">
      <c r="B51" s="23"/>
      <c r="C51" s="23"/>
      <c r="K51" s="23"/>
      <c r="L51" s="24"/>
      <c r="M51" s="24"/>
    </row>
    <row r="52" ht="14.25" customHeight="1">
      <c r="B52" s="23"/>
      <c r="C52" s="23"/>
      <c r="K52" s="23"/>
      <c r="L52" s="24"/>
      <c r="M52" s="24"/>
    </row>
    <row r="53" ht="14.25" customHeight="1">
      <c r="B53" s="23"/>
      <c r="C53" s="23"/>
      <c r="K53" s="23"/>
      <c r="L53" s="24"/>
      <c r="M53" s="24"/>
    </row>
    <row r="54" ht="14.25" customHeight="1">
      <c r="B54" s="23"/>
      <c r="C54" s="23"/>
      <c r="K54" s="23"/>
      <c r="L54" s="24"/>
      <c r="M54" s="24"/>
    </row>
    <row r="55" ht="14.25" customHeight="1">
      <c r="B55" s="23"/>
      <c r="C55" s="23"/>
      <c r="K55" s="23"/>
      <c r="L55" s="24"/>
      <c r="M55" s="24"/>
    </row>
    <row r="56" ht="14.25" customHeight="1">
      <c r="B56" s="23"/>
      <c r="C56" s="23"/>
      <c r="K56" s="23"/>
      <c r="L56" s="24"/>
      <c r="M56" s="24"/>
    </row>
    <row r="57" ht="14.25" customHeight="1">
      <c r="B57" s="23"/>
      <c r="C57" s="23"/>
      <c r="K57" s="23"/>
      <c r="L57" s="24"/>
      <c r="M57" s="24"/>
    </row>
    <row r="58" ht="14.25" customHeight="1">
      <c r="B58" s="23"/>
      <c r="C58" s="23"/>
      <c r="K58" s="23"/>
      <c r="L58" s="24"/>
      <c r="M58" s="24"/>
    </row>
    <row r="59" ht="14.25" customHeight="1">
      <c r="B59" s="23"/>
      <c r="C59" s="23"/>
      <c r="K59" s="23"/>
      <c r="L59" s="24"/>
      <c r="M59" s="24"/>
    </row>
    <row r="60" ht="14.25" customHeight="1">
      <c r="B60" s="23"/>
      <c r="C60" s="23"/>
      <c r="K60" s="23"/>
      <c r="L60" s="24"/>
      <c r="M60" s="24"/>
    </row>
    <row r="61" ht="14.25" customHeight="1">
      <c r="B61" s="23"/>
      <c r="C61" s="23"/>
      <c r="K61" s="23"/>
      <c r="L61" s="24"/>
      <c r="M61" s="24"/>
    </row>
    <row r="62" ht="14.25" customHeight="1">
      <c r="B62" s="23"/>
      <c r="C62" s="23"/>
      <c r="K62" s="23"/>
      <c r="L62" s="24"/>
      <c r="M62" s="24"/>
    </row>
    <row r="63" ht="14.25" customHeight="1">
      <c r="B63" s="23"/>
      <c r="C63" s="23"/>
      <c r="K63" s="23"/>
      <c r="L63" s="24"/>
      <c r="M63" s="24"/>
    </row>
    <row r="64" ht="14.25" customHeight="1">
      <c r="B64" s="23"/>
      <c r="C64" s="23"/>
      <c r="K64" s="23"/>
      <c r="L64" s="24"/>
      <c r="M64" s="24"/>
    </row>
    <row r="65" ht="14.25" customHeight="1">
      <c r="B65" s="23"/>
      <c r="C65" s="23"/>
      <c r="K65" s="23"/>
      <c r="L65" s="24"/>
      <c r="M65" s="24"/>
    </row>
    <row r="66" ht="14.25" customHeight="1">
      <c r="B66" s="23"/>
      <c r="C66" s="23"/>
      <c r="K66" s="23"/>
      <c r="L66" s="24"/>
      <c r="M66" s="24"/>
    </row>
    <row r="67" ht="14.25" customHeight="1">
      <c r="B67" s="23"/>
      <c r="C67" s="23"/>
      <c r="K67" s="23"/>
      <c r="L67" s="24"/>
      <c r="M67" s="24"/>
    </row>
    <row r="68" ht="14.25" customHeight="1">
      <c r="B68" s="23"/>
      <c r="C68" s="23"/>
      <c r="K68" s="23"/>
      <c r="L68" s="24"/>
      <c r="M68" s="24"/>
    </row>
    <row r="69" ht="14.25" customHeight="1">
      <c r="B69" s="23"/>
      <c r="C69" s="23"/>
      <c r="K69" s="23"/>
      <c r="L69" s="24"/>
      <c r="M69" s="24"/>
    </row>
    <row r="70" ht="14.25" customHeight="1">
      <c r="B70" s="23"/>
      <c r="C70" s="23"/>
      <c r="K70" s="23"/>
      <c r="L70" s="24"/>
      <c r="M70" s="24"/>
    </row>
    <row r="71" ht="14.25" customHeight="1">
      <c r="B71" s="23"/>
      <c r="C71" s="23"/>
      <c r="K71" s="23"/>
      <c r="L71" s="24"/>
      <c r="M71" s="24"/>
    </row>
    <row r="72" ht="14.25" customHeight="1">
      <c r="B72" s="23"/>
      <c r="C72" s="23"/>
      <c r="K72" s="23"/>
      <c r="L72" s="24"/>
      <c r="M72" s="24"/>
    </row>
    <row r="73" ht="14.25" customHeight="1">
      <c r="B73" s="23"/>
      <c r="C73" s="23"/>
      <c r="K73" s="23"/>
      <c r="L73" s="24"/>
      <c r="M73" s="24"/>
    </row>
    <row r="74" ht="14.25" customHeight="1">
      <c r="B74" s="23"/>
      <c r="C74" s="23"/>
      <c r="K74" s="23"/>
      <c r="L74" s="24"/>
      <c r="M74" s="24"/>
    </row>
    <row r="75" ht="14.25" customHeight="1">
      <c r="B75" s="23"/>
      <c r="C75" s="23"/>
      <c r="K75" s="23"/>
      <c r="L75" s="24"/>
      <c r="M75" s="24"/>
    </row>
    <row r="76" ht="14.25" customHeight="1">
      <c r="B76" s="23"/>
      <c r="C76" s="23"/>
      <c r="K76" s="23"/>
      <c r="L76" s="24"/>
      <c r="M76" s="24"/>
    </row>
    <row r="77" ht="14.25" customHeight="1">
      <c r="B77" s="23"/>
      <c r="C77" s="23"/>
      <c r="K77" s="23"/>
      <c r="L77" s="24"/>
      <c r="M77" s="24"/>
    </row>
    <row r="78" ht="14.25" customHeight="1">
      <c r="B78" s="23"/>
      <c r="C78" s="23"/>
      <c r="K78" s="23"/>
      <c r="L78" s="24"/>
      <c r="M78" s="24"/>
    </row>
    <row r="79" ht="14.25" customHeight="1">
      <c r="B79" s="23"/>
      <c r="C79" s="23"/>
      <c r="K79" s="23"/>
      <c r="L79" s="24"/>
      <c r="M79" s="24"/>
    </row>
    <row r="80" ht="14.25" customHeight="1">
      <c r="B80" s="23"/>
      <c r="C80" s="23"/>
      <c r="K80" s="23"/>
      <c r="L80" s="24"/>
      <c r="M80" s="24"/>
    </row>
    <row r="81" ht="14.25" customHeight="1">
      <c r="B81" s="23"/>
      <c r="C81" s="23"/>
      <c r="K81" s="23"/>
      <c r="L81" s="24"/>
      <c r="M81" s="24"/>
    </row>
    <row r="82" ht="14.25" customHeight="1">
      <c r="B82" s="23"/>
      <c r="C82" s="23"/>
      <c r="K82" s="23"/>
      <c r="L82" s="24"/>
      <c r="M82" s="24"/>
    </row>
    <row r="83" ht="14.25" customHeight="1">
      <c r="B83" s="23"/>
      <c r="C83" s="23"/>
      <c r="K83" s="23"/>
      <c r="L83" s="24"/>
      <c r="M83" s="24"/>
    </row>
    <row r="84" ht="14.25" customHeight="1">
      <c r="B84" s="23"/>
      <c r="C84" s="23"/>
      <c r="K84" s="23"/>
      <c r="L84" s="24"/>
      <c r="M84" s="24"/>
    </row>
    <row r="85" ht="14.25" customHeight="1">
      <c r="B85" s="23"/>
      <c r="C85" s="23"/>
      <c r="K85" s="23"/>
      <c r="L85" s="24"/>
      <c r="M85" s="24"/>
    </row>
    <row r="86" ht="14.25" customHeight="1">
      <c r="B86" s="23"/>
      <c r="C86" s="23"/>
      <c r="K86" s="23"/>
      <c r="L86" s="24"/>
      <c r="M86" s="24"/>
    </row>
    <row r="87" ht="14.25" customHeight="1">
      <c r="B87" s="23"/>
      <c r="C87" s="23"/>
      <c r="K87" s="23"/>
      <c r="L87" s="24"/>
      <c r="M87" s="24"/>
    </row>
    <row r="88" ht="14.25" customHeight="1">
      <c r="B88" s="23"/>
      <c r="C88" s="23"/>
      <c r="K88" s="23"/>
      <c r="L88" s="24"/>
      <c r="M88" s="24"/>
    </row>
    <row r="89" ht="14.25" customHeight="1">
      <c r="B89" s="23"/>
      <c r="C89" s="23"/>
      <c r="K89" s="23"/>
      <c r="L89" s="24"/>
      <c r="M89" s="24"/>
    </row>
    <row r="90" ht="14.25" customHeight="1">
      <c r="B90" s="23"/>
      <c r="C90" s="23"/>
      <c r="K90" s="23"/>
      <c r="L90" s="24"/>
      <c r="M90" s="24"/>
    </row>
    <row r="91" ht="14.25" customHeight="1">
      <c r="B91" s="23"/>
      <c r="C91" s="23"/>
      <c r="K91" s="23"/>
      <c r="L91" s="24"/>
      <c r="M91" s="24"/>
    </row>
    <row r="92" ht="14.25" customHeight="1">
      <c r="B92" s="23"/>
      <c r="C92" s="23"/>
      <c r="K92" s="23"/>
      <c r="L92" s="24"/>
      <c r="M92" s="24"/>
    </row>
    <row r="93" ht="14.25" customHeight="1">
      <c r="B93" s="23"/>
      <c r="C93" s="23"/>
      <c r="K93" s="23"/>
      <c r="L93" s="24"/>
      <c r="M93" s="24"/>
    </row>
    <row r="94" ht="14.25" customHeight="1">
      <c r="B94" s="23"/>
      <c r="C94" s="23"/>
      <c r="K94" s="23"/>
      <c r="L94" s="24"/>
      <c r="M94" s="24"/>
    </row>
    <row r="95" ht="14.25" customHeight="1">
      <c r="B95" s="23"/>
      <c r="C95" s="23"/>
      <c r="K95" s="23"/>
      <c r="L95" s="24"/>
      <c r="M95" s="24"/>
    </row>
    <row r="96" ht="14.25" customHeight="1">
      <c r="B96" s="23"/>
      <c r="C96" s="23"/>
      <c r="K96" s="23"/>
      <c r="L96" s="24"/>
      <c r="M96" s="24"/>
    </row>
    <row r="97" ht="14.25" customHeight="1">
      <c r="B97" s="23"/>
      <c r="C97" s="23"/>
      <c r="K97" s="23"/>
      <c r="L97" s="24"/>
      <c r="M97" s="24"/>
    </row>
    <row r="98" ht="14.25" customHeight="1">
      <c r="B98" s="23"/>
      <c r="C98" s="23"/>
      <c r="K98" s="23"/>
      <c r="L98" s="24"/>
      <c r="M98" s="24"/>
    </row>
    <row r="99" ht="14.25" customHeight="1">
      <c r="B99" s="23"/>
      <c r="C99" s="23"/>
      <c r="K99" s="23"/>
      <c r="L99" s="24"/>
      <c r="M99" s="24"/>
    </row>
    <row r="100" ht="14.25" customHeight="1">
      <c r="B100" s="23"/>
      <c r="C100" s="23"/>
      <c r="K100" s="23"/>
      <c r="L100" s="24"/>
      <c r="M100" s="24"/>
    </row>
  </sheetData>
  <mergeCells count="1">
    <mergeCell ref="A1:P1"/>
  </mergeCells>
  <conditionalFormatting sqref="M5:M32">
    <cfRule type="cellIs" dxfId="0" priority="1" operator="greaterThan">
      <formula>0</formula>
    </cfRule>
  </conditionalFormatting>
  <dataValidations>
    <dataValidation type="list" allowBlank="1" showDropDown="1" showErrorMessage="1" sqref="P5:P32">
      <formula1>"Listo,Pendiente,Saldo Pendiente"</formula1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2025-10-06T16:37:04Z</dcterms:created>
  <dc:creator>Yasmin Salinas</dc:creator>
  <cp:lastModifiedBy>Yasmin Salinas</cp:lastModifiedBy>
  <dcterms:modified xsi:type="dcterms:W3CDTF">2025-10-06T16:39:29Z</dcterms:modified>
</cp:coreProperties>
</file>